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nzaleg\Documents\2_A_Produits&amp;Réalisations_Destination_CommunautésSci_PROJETS\g_Elevage_de_Précision\2020_H2020_TechCare\DomainesEXP\Le Merle\StageEstelleLEROUX_2021\BD\"/>
    </mc:Choice>
  </mc:AlternateContent>
  <bookViews>
    <workbookView xWindow="0" yWindow="0" windowWidth="28800" windowHeight="11880"/>
  </bookViews>
  <sheets>
    <sheet name="Feuil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0" i="1" l="1"/>
  <c r="G100" i="1"/>
  <c r="J99" i="1"/>
  <c r="G99" i="1"/>
  <c r="J98" i="1"/>
  <c r="G98" i="1"/>
  <c r="J97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J67" i="1"/>
  <c r="G67" i="1"/>
  <c r="J66" i="1"/>
  <c r="G66" i="1"/>
  <c r="J65" i="1"/>
  <c r="G65" i="1"/>
  <c r="J64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J33" i="1"/>
  <c r="G33" i="1"/>
  <c r="J32" i="1"/>
  <c r="G32" i="1"/>
  <c r="J31" i="1"/>
  <c r="G31" i="1"/>
  <c r="J30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<sst xmlns="http://schemas.openxmlformats.org/spreadsheetml/2006/main" count="226" uniqueCount="42">
  <si>
    <t>Animal identification, IDE</t>
  </si>
  <si>
    <t>Date of Birth</t>
  </si>
  <si>
    <t>Litter size at birth</t>
  </si>
  <si>
    <t>Liveweight birth, kg</t>
  </si>
  <si>
    <t>Liveweight 30 days old, kg</t>
  </si>
  <si>
    <t>Date selection for experiment</t>
  </si>
  <si>
    <t>Age at starting experiment, days</t>
  </si>
  <si>
    <t>Liveweight experiment, kg</t>
  </si>
  <si>
    <t>30/09/2020</t>
  </si>
  <si>
    <t>18/01/2021</t>
  </si>
  <si>
    <t>05/10/2020</t>
  </si>
  <si>
    <t>07/10/2020</t>
  </si>
  <si>
    <t>12/10/2020</t>
  </si>
  <si>
    <t>01/10/2020</t>
  </si>
  <si>
    <t>17/10/2020</t>
  </si>
  <si>
    <t>20/10/2020</t>
  </si>
  <si>
    <t>27/09/2020</t>
  </si>
  <si>
    <t>19/10/2020</t>
  </si>
  <si>
    <t>02/10/2020</t>
  </si>
  <si>
    <t>04/10/2020</t>
  </si>
  <si>
    <t>29/09/2020</t>
  </si>
  <si>
    <t>26/09/2020</t>
  </si>
  <si>
    <t>08/10/2020</t>
  </si>
  <si>
    <t>06/10/2020</t>
  </si>
  <si>
    <t>Light animals (n=33)</t>
  </si>
  <si>
    <r>
      <t>21,2±</t>
    </r>
    <r>
      <rPr>
        <i/>
        <sz val="11"/>
        <color theme="1"/>
        <rFont val="Calibri"/>
        <family val="2"/>
        <scheme val="minor"/>
      </rPr>
      <t>1,4</t>
    </r>
  </si>
  <si>
    <t>10 twins</t>
  </si>
  <si>
    <t>Average liveweight (Kg)</t>
  </si>
  <si>
    <t>Standard error of the mean (Kg)</t>
  </si>
  <si>
    <t>Minimum (Kg)</t>
  </si>
  <si>
    <t>Maximum (Kg)</t>
  </si>
  <si>
    <t>25/09/2020</t>
  </si>
  <si>
    <t>14/10/2020</t>
  </si>
  <si>
    <t>28/09/2020</t>
  </si>
  <si>
    <t>03/10/2020</t>
  </si>
  <si>
    <t>Medium animals (n=33)</t>
  </si>
  <si>
    <r>
      <t>24,4±</t>
    </r>
    <r>
      <rPr>
        <i/>
        <sz val="11"/>
        <color theme="1"/>
        <rFont val="Calibri"/>
        <family val="2"/>
        <scheme val="minor"/>
      </rPr>
      <t>0,8</t>
    </r>
  </si>
  <si>
    <t>21/10/2020</t>
  </si>
  <si>
    <t>10/10/2020</t>
  </si>
  <si>
    <t>11/10/2020</t>
  </si>
  <si>
    <t>Heavy animals (n=33)</t>
  </si>
  <si>
    <r>
      <t>28,7±</t>
    </r>
    <r>
      <rPr>
        <i/>
        <sz val="11"/>
        <color theme="1"/>
        <rFont val="Calibri"/>
        <family val="2"/>
        <scheme val="minor"/>
      </rPr>
      <t>2,0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</si>
</sst>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006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4" fillId="0" borderId="0"/>
  </cellStyleXfs>
  <cellXfs count="47">
    <xf numFmtId="0" fontId="0" fillId="0" borderId="0" xfId="0"/>
    <xf numFmtId="0" fontId="1" fillId="0" borderId="0" xfId="0" applyFont="1"/>
    <xf numFmtId="164" fontId="5" fillId="4" borderId="1" xfId="1" applyNumberFormat="1" applyFont="1" applyFill="1" applyBorder="1" applyAlignment="1" applyProtection="1">
      <alignment horizontal="center" vertical="center"/>
    </xf>
    <xf numFmtId="14" fontId="5" fillId="2" borderId="1" xfId="1" applyNumberFormat="1" applyFont="1" applyFill="1" applyBorder="1" applyAlignment="1" applyProtection="1">
      <alignment horizontal="center" vertical="center"/>
    </xf>
    <xf numFmtId="1" fontId="5" fillId="4" borderId="1" xfId="1" applyNumberFormat="1" applyFont="1" applyFill="1" applyBorder="1" applyAlignment="1" applyProtection="1">
      <alignment horizontal="center" vertical="center"/>
    </xf>
    <xf numFmtId="2" fontId="5" fillId="4" borderId="1" xfId="1" applyNumberFormat="1" applyFont="1" applyFill="1" applyBorder="1" applyAlignment="1" applyProtection="1">
      <alignment horizontal="center" vertical="center"/>
    </xf>
    <xf numFmtId="14" fontId="5" fillId="3" borderId="1" xfId="1" applyNumberFormat="1" applyFont="1" applyFill="1" applyBorder="1" applyAlignment="1" applyProtection="1">
      <alignment horizontal="center" vertical="center"/>
    </xf>
    <xf numFmtId="1" fontId="5" fillId="0" borderId="1" xfId="1" applyNumberFormat="1" applyFont="1" applyFill="1" applyBorder="1" applyAlignment="1" applyProtection="1">
      <alignment horizontal="center" vertical="center"/>
    </xf>
    <xf numFmtId="165" fontId="3" fillId="5" borderId="1" xfId="1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 applyProtection="1">
      <alignment horizontal="center" vertical="center"/>
    </xf>
    <xf numFmtId="1" fontId="5" fillId="2" borderId="1" xfId="1" applyNumberFormat="1" applyFont="1" applyFill="1" applyBorder="1" applyAlignment="1" applyProtection="1">
      <alignment horizontal="center" vertical="center"/>
    </xf>
    <xf numFmtId="2" fontId="5" fillId="2" borderId="1" xfId="1" applyNumberFormat="1" applyFont="1" applyFill="1" applyBorder="1" applyAlignment="1" applyProtection="1">
      <alignment horizontal="center" vertical="center"/>
    </xf>
    <xf numFmtId="164" fontId="5" fillId="6" borderId="1" xfId="1" applyNumberFormat="1" applyFont="1" applyFill="1" applyBorder="1" applyAlignment="1" applyProtection="1">
      <alignment horizontal="center" vertical="center"/>
    </xf>
    <xf numFmtId="164" fontId="6" fillId="6" borderId="1" xfId="1" applyNumberFormat="1" applyFont="1" applyFill="1" applyBorder="1" applyAlignment="1" applyProtection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5" fillId="7" borderId="1" xfId="1" applyNumberFormat="1" applyFont="1" applyFill="1" applyBorder="1" applyAlignment="1" applyProtection="1">
      <alignment horizontal="center" vertical="center"/>
    </xf>
    <xf numFmtId="0" fontId="0" fillId="7" borderId="0" xfId="0" applyFont="1" applyFill="1" applyAlignment="1">
      <alignment horizontal="center" vertical="center"/>
    </xf>
    <xf numFmtId="165" fontId="5" fillId="8" borderId="1" xfId="1" applyNumberFormat="1" applyFont="1" applyFill="1" applyBorder="1" applyAlignment="1" applyProtection="1">
      <alignment horizontal="center" vertical="center"/>
    </xf>
    <xf numFmtId="164" fontId="5" fillId="2" borderId="2" xfId="1" applyNumberFormat="1" applyFont="1" applyFill="1" applyBorder="1" applyAlignment="1" applyProtection="1">
      <alignment horizontal="center" vertical="center"/>
    </xf>
    <xf numFmtId="14" fontId="5" fillId="2" borderId="2" xfId="1" applyNumberFormat="1" applyFont="1" applyFill="1" applyBorder="1" applyAlignment="1" applyProtection="1">
      <alignment horizontal="center" vertical="center"/>
    </xf>
    <xf numFmtId="1" fontId="5" fillId="2" borderId="2" xfId="1" applyNumberFormat="1" applyFont="1" applyFill="1" applyBorder="1" applyAlignment="1" applyProtection="1">
      <alignment horizontal="center" vertical="center"/>
    </xf>
    <xf numFmtId="2" fontId="5" fillId="2" borderId="2" xfId="1" applyNumberFormat="1" applyFont="1" applyFill="1" applyBorder="1" applyAlignment="1" applyProtection="1">
      <alignment horizontal="center" vertical="center"/>
    </xf>
    <xf numFmtId="14" fontId="5" fillId="3" borderId="2" xfId="1" applyNumberFormat="1" applyFont="1" applyFill="1" applyBorder="1" applyAlignment="1" applyProtection="1">
      <alignment horizontal="center" vertical="center"/>
    </xf>
    <xf numFmtId="165" fontId="5" fillId="8" borderId="2" xfId="1" applyNumberFormat="1" applyFont="1" applyFill="1" applyBorder="1" applyAlignment="1" applyProtection="1">
      <alignment horizontal="center" vertical="center"/>
    </xf>
    <xf numFmtId="164" fontId="5" fillId="2" borderId="3" xfId="1" applyNumberFormat="1" applyFont="1" applyFill="1" applyBorder="1" applyAlignment="1" applyProtection="1">
      <alignment horizontal="center" vertical="center"/>
    </xf>
    <xf numFmtId="14" fontId="5" fillId="2" borderId="3" xfId="1" applyNumberFormat="1" applyFont="1" applyFill="1" applyBorder="1" applyAlignment="1" applyProtection="1">
      <alignment horizontal="center" vertical="center"/>
    </xf>
    <xf numFmtId="1" fontId="5" fillId="2" borderId="3" xfId="1" applyNumberFormat="1" applyFont="1" applyFill="1" applyBorder="1" applyAlignment="1" applyProtection="1">
      <alignment horizontal="center" vertical="center"/>
    </xf>
    <xf numFmtId="2" fontId="5" fillId="2" borderId="3" xfId="1" applyNumberFormat="1" applyFont="1" applyFill="1" applyBorder="1" applyAlignment="1" applyProtection="1">
      <alignment horizontal="center" vertical="center"/>
    </xf>
    <xf numFmtId="14" fontId="5" fillId="3" borderId="3" xfId="1" applyNumberFormat="1" applyFont="1" applyFill="1" applyBorder="1" applyAlignment="1" applyProtection="1">
      <alignment horizontal="center" vertical="center"/>
    </xf>
    <xf numFmtId="165" fontId="5" fillId="8" borderId="3" xfId="1" applyNumberFormat="1" applyFont="1" applyFill="1" applyBorder="1" applyAlignment="1" applyProtection="1">
      <alignment horizontal="center" vertical="center"/>
    </xf>
    <xf numFmtId="0" fontId="0" fillId="8" borderId="0" xfId="0" applyFont="1" applyFill="1" applyAlignment="1">
      <alignment horizontal="center" vertical="center"/>
    </xf>
    <xf numFmtId="164" fontId="5" fillId="4" borderId="3" xfId="1" applyNumberFormat="1" applyFont="1" applyFill="1" applyBorder="1" applyAlignment="1" applyProtection="1">
      <alignment horizontal="center" vertical="center"/>
    </xf>
    <xf numFmtId="1" fontId="5" fillId="4" borderId="3" xfId="1" applyNumberFormat="1" applyFont="1" applyFill="1" applyBorder="1" applyAlignment="1" applyProtection="1">
      <alignment horizontal="center" vertical="center"/>
    </xf>
    <xf numFmtId="2" fontId="5" fillId="4" borderId="3" xfId="1" applyNumberFormat="1" applyFont="1" applyFill="1" applyBorder="1" applyAlignment="1" applyProtection="1">
      <alignment horizontal="center" vertical="center"/>
    </xf>
    <xf numFmtId="164" fontId="5" fillId="4" borderId="4" xfId="1" applyNumberFormat="1" applyFont="1" applyFill="1" applyBorder="1" applyAlignment="1" applyProtection="1">
      <alignment horizontal="center" vertical="center"/>
    </xf>
    <xf numFmtId="14" fontId="5" fillId="2" borderId="5" xfId="1" applyNumberFormat="1" applyFont="1" applyFill="1" applyBorder="1" applyAlignment="1" applyProtection="1">
      <alignment horizontal="center" vertical="center"/>
    </xf>
    <xf numFmtId="1" fontId="5" fillId="4" borderId="5" xfId="1" applyNumberFormat="1" applyFont="1" applyFill="1" applyBorder="1" applyAlignment="1" applyProtection="1">
      <alignment horizontal="center" vertical="center"/>
    </xf>
    <xf numFmtId="2" fontId="5" fillId="4" borderId="5" xfId="1" applyNumberFormat="1" applyFont="1" applyFill="1" applyBorder="1" applyAlignment="1" applyProtection="1">
      <alignment horizontal="center" vertical="center"/>
    </xf>
    <xf numFmtId="14" fontId="5" fillId="3" borderId="5" xfId="1" applyNumberFormat="1" applyFont="1" applyFill="1" applyBorder="1" applyAlignment="1" applyProtection="1">
      <alignment horizontal="center" vertical="center"/>
    </xf>
    <xf numFmtId="165" fontId="5" fillId="8" borderId="5" xfId="1" applyNumberFormat="1" applyFont="1" applyFill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workbookViewId="0">
      <selection activeCell="I8" sqref="I8"/>
    </sheetView>
  </sheetViews>
  <sheetFormatPr baseColWidth="10" defaultColWidth="11.44140625" defaultRowHeight="14.4" x14ac:dyDescent="0.3"/>
  <cols>
    <col min="1" max="1" width="13.5546875" style="1" customWidth="1"/>
    <col min="2" max="5" width="11.44140625" style="1"/>
    <col min="6" max="6" width="14.109375" style="1" customWidth="1"/>
    <col min="7" max="7" width="12.6640625" style="1" customWidth="1"/>
    <col min="8" max="8" width="12.5546875" style="1" customWidth="1"/>
    <col min="9" max="9" width="32.88671875" style="1" customWidth="1"/>
    <col min="10" max="16384" width="11.44140625" style="1"/>
  </cols>
  <sheetData>
    <row r="1" spans="1:8" ht="48.75" customHeight="1" x14ac:dyDescent="0.3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</row>
    <row r="2" spans="1:8" x14ac:dyDescent="0.3">
      <c r="A2" s="2">
        <v>3243</v>
      </c>
      <c r="B2" s="3" t="s">
        <v>8</v>
      </c>
      <c r="C2" s="4">
        <v>2</v>
      </c>
      <c r="D2" s="5">
        <v>4.3</v>
      </c>
      <c r="E2" s="5">
        <v>8.3000000000000007</v>
      </c>
      <c r="F2" s="6" t="s">
        <v>9</v>
      </c>
      <c r="G2" s="7">
        <f>F2-B2</f>
        <v>110</v>
      </c>
      <c r="H2" s="8">
        <v>18</v>
      </c>
    </row>
    <row r="3" spans="1:8" x14ac:dyDescent="0.3">
      <c r="A3" s="9">
        <v>3596</v>
      </c>
      <c r="B3" s="3" t="s">
        <v>10</v>
      </c>
      <c r="C3" s="10">
        <v>2</v>
      </c>
      <c r="D3" s="11">
        <v>4.4000000000000004</v>
      </c>
      <c r="E3" s="11">
        <v>10.5</v>
      </c>
      <c r="F3" s="6" t="s">
        <v>9</v>
      </c>
      <c r="G3" s="7">
        <f t="shared" ref="G3:G66" si="0">F3-B3</f>
        <v>105</v>
      </c>
      <c r="H3" s="8">
        <v>18.2</v>
      </c>
    </row>
    <row r="4" spans="1:8" x14ac:dyDescent="0.3">
      <c r="A4" s="12">
        <v>3757</v>
      </c>
      <c r="B4" s="3" t="s">
        <v>11</v>
      </c>
      <c r="C4" s="4">
        <v>2</v>
      </c>
      <c r="D4" s="5">
        <v>4.5</v>
      </c>
      <c r="E4" s="4">
        <v>9</v>
      </c>
      <c r="F4" s="6" t="s">
        <v>9</v>
      </c>
      <c r="G4" s="7">
        <f t="shared" si="0"/>
        <v>103</v>
      </c>
      <c r="H4" s="8">
        <v>18.5</v>
      </c>
    </row>
    <row r="5" spans="1:8" x14ac:dyDescent="0.3">
      <c r="A5" s="9">
        <v>3601</v>
      </c>
      <c r="B5" s="3" t="s">
        <v>10</v>
      </c>
      <c r="C5" s="10">
        <v>2</v>
      </c>
      <c r="D5" s="11">
        <v>4</v>
      </c>
      <c r="E5" s="10">
        <v>11</v>
      </c>
      <c r="F5" s="6" t="s">
        <v>9</v>
      </c>
      <c r="G5" s="7">
        <f t="shared" si="0"/>
        <v>105</v>
      </c>
      <c r="H5" s="8">
        <v>19</v>
      </c>
    </row>
    <row r="6" spans="1:8" x14ac:dyDescent="0.3">
      <c r="A6" s="12">
        <v>3250</v>
      </c>
      <c r="B6" s="3" t="s">
        <v>8</v>
      </c>
      <c r="C6" s="4">
        <v>2</v>
      </c>
      <c r="D6" s="5">
        <v>3.2</v>
      </c>
      <c r="E6" s="5">
        <v>7.7</v>
      </c>
      <c r="F6" s="6" t="s">
        <v>9</v>
      </c>
      <c r="G6" s="7">
        <f t="shared" si="0"/>
        <v>110</v>
      </c>
      <c r="H6" s="8">
        <v>19.399999999999999</v>
      </c>
    </row>
    <row r="7" spans="1:8" x14ac:dyDescent="0.3">
      <c r="A7" s="12">
        <v>3555</v>
      </c>
      <c r="B7" s="3" t="s">
        <v>10</v>
      </c>
      <c r="C7" s="10">
        <v>2</v>
      </c>
      <c r="D7" s="11">
        <v>4.5999999999999996</v>
      </c>
      <c r="E7" s="11">
        <v>9.4</v>
      </c>
      <c r="F7" s="6" t="s">
        <v>9</v>
      </c>
      <c r="G7" s="7">
        <f t="shared" si="0"/>
        <v>105</v>
      </c>
      <c r="H7" s="8">
        <v>19.7</v>
      </c>
    </row>
    <row r="8" spans="1:8" x14ac:dyDescent="0.3">
      <c r="A8" s="9">
        <v>3964</v>
      </c>
      <c r="B8" s="3" t="s">
        <v>12</v>
      </c>
      <c r="C8" s="10">
        <v>2</v>
      </c>
      <c r="D8" s="11">
        <v>3.4</v>
      </c>
      <c r="E8" s="10">
        <v>10</v>
      </c>
      <c r="F8" s="6" t="s">
        <v>9</v>
      </c>
      <c r="G8" s="7">
        <f t="shared" si="0"/>
        <v>98</v>
      </c>
      <c r="H8" s="8">
        <v>20.2</v>
      </c>
    </row>
    <row r="9" spans="1:8" x14ac:dyDescent="0.3">
      <c r="A9" s="12">
        <v>3536</v>
      </c>
      <c r="B9" s="3" t="s">
        <v>10</v>
      </c>
      <c r="C9" s="10">
        <v>2</v>
      </c>
      <c r="D9" s="11">
        <v>4.3</v>
      </c>
      <c r="E9" s="11">
        <v>10.199999999999999</v>
      </c>
      <c r="F9" s="6" t="s">
        <v>9</v>
      </c>
      <c r="G9" s="7">
        <f t="shared" si="0"/>
        <v>105</v>
      </c>
      <c r="H9" s="8">
        <v>20.2</v>
      </c>
    </row>
    <row r="10" spans="1:8" x14ac:dyDescent="0.3">
      <c r="A10" s="9">
        <v>3338</v>
      </c>
      <c r="B10" s="3" t="s">
        <v>13</v>
      </c>
      <c r="C10" s="10">
        <v>2</v>
      </c>
      <c r="D10" s="11">
        <v>4.0999999999999996</v>
      </c>
      <c r="E10" s="11">
        <v>9.5</v>
      </c>
      <c r="F10" s="6" t="s">
        <v>9</v>
      </c>
      <c r="G10" s="7">
        <f t="shared" si="0"/>
        <v>109</v>
      </c>
      <c r="H10" s="8">
        <v>20.2</v>
      </c>
    </row>
    <row r="11" spans="1:8" x14ac:dyDescent="0.3">
      <c r="A11" s="2">
        <v>4076</v>
      </c>
      <c r="B11" s="3" t="s">
        <v>14</v>
      </c>
      <c r="C11" s="4">
        <v>2</v>
      </c>
      <c r="D11" s="5">
        <v>3.2</v>
      </c>
      <c r="E11" s="5">
        <v>6.3</v>
      </c>
      <c r="F11" s="6" t="s">
        <v>9</v>
      </c>
      <c r="G11" s="7">
        <f t="shared" si="0"/>
        <v>93</v>
      </c>
      <c r="H11" s="8">
        <v>20.399999999999999</v>
      </c>
    </row>
    <row r="12" spans="1:8" x14ac:dyDescent="0.3">
      <c r="A12" s="9">
        <v>3315</v>
      </c>
      <c r="B12" s="3" t="s">
        <v>13</v>
      </c>
      <c r="C12" s="10">
        <v>2</v>
      </c>
      <c r="D12" s="11">
        <v>4.2</v>
      </c>
      <c r="E12" s="11">
        <v>9.3000000000000007</v>
      </c>
      <c r="F12" s="6" t="s">
        <v>9</v>
      </c>
      <c r="G12" s="7">
        <f t="shared" si="0"/>
        <v>109</v>
      </c>
      <c r="H12" s="8">
        <v>20.7</v>
      </c>
    </row>
    <row r="13" spans="1:8" x14ac:dyDescent="0.3">
      <c r="A13" s="12">
        <v>3272</v>
      </c>
      <c r="B13" s="3" t="s">
        <v>8</v>
      </c>
      <c r="C13" s="4">
        <v>2</v>
      </c>
      <c r="D13" s="5">
        <v>4.3</v>
      </c>
      <c r="E13" s="5">
        <v>11.4</v>
      </c>
      <c r="F13" s="6" t="s">
        <v>9</v>
      </c>
      <c r="G13" s="7">
        <f t="shared" si="0"/>
        <v>110</v>
      </c>
      <c r="H13" s="8">
        <v>20.8</v>
      </c>
    </row>
    <row r="14" spans="1:8" x14ac:dyDescent="0.3">
      <c r="A14" s="13">
        <v>3741</v>
      </c>
      <c r="B14" s="3" t="s">
        <v>11</v>
      </c>
      <c r="C14" s="10">
        <v>2</v>
      </c>
      <c r="D14" s="11">
        <v>4.7</v>
      </c>
      <c r="E14" s="11">
        <v>10.4</v>
      </c>
      <c r="F14" s="6" t="s">
        <v>9</v>
      </c>
      <c r="G14" s="7">
        <f t="shared" si="0"/>
        <v>103</v>
      </c>
      <c r="H14" s="8">
        <v>21.1</v>
      </c>
    </row>
    <row r="15" spans="1:8" x14ac:dyDescent="0.3">
      <c r="A15" s="9">
        <v>4164</v>
      </c>
      <c r="B15" s="3" t="s">
        <v>15</v>
      </c>
      <c r="C15" s="10">
        <v>2</v>
      </c>
      <c r="D15" s="11">
        <v>3.5</v>
      </c>
      <c r="E15" s="11">
        <v>11.3</v>
      </c>
      <c r="F15" s="6" t="s">
        <v>9</v>
      </c>
      <c r="G15" s="7">
        <f t="shared" si="0"/>
        <v>90</v>
      </c>
      <c r="H15" s="8">
        <v>21.3</v>
      </c>
    </row>
    <row r="16" spans="1:8" x14ac:dyDescent="0.3">
      <c r="A16" s="9">
        <v>3104</v>
      </c>
      <c r="B16" s="3" t="s">
        <v>16</v>
      </c>
      <c r="C16" s="10">
        <v>2</v>
      </c>
      <c r="D16" s="11">
        <v>3.7</v>
      </c>
      <c r="E16" s="11">
        <v>9.3000000000000007</v>
      </c>
      <c r="F16" s="6">
        <v>44214</v>
      </c>
      <c r="G16" s="7">
        <f t="shared" si="0"/>
        <v>113</v>
      </c>
      <c r="H16" s="8">
        <v>21.4</v>
      </c>
    </row>
    <row r="17" spans="1:10" x14ac:dyDescent="0.3">
      <c r="A17" s="9">
        <v>4130</v>
      </c>
      <c r="B17" s="3" t="s">
        <v>17</v>
      </c>
      <c r="C17" s="10">
        <v>1</v>
      </c>
      <c r="D17" s="11">
        <v>4.5</v>
      </c>
      <c r="E17" s="11">
        <v>11.3</v>
      </c>
      <c r="F17" s="6" t="s">
        <v>9</v>
      </c>
      <c r="G17" s="7">
        <f t="shared" si="0"/>
        <v>91</v>
      </c>
      <c r="H17" s="8">
        <v>21.5</v>
      </c>
    </row>
    <row r="18" spans="1:10" x14ac:dyDescent="0.3">
      <c r="A18" s="2">
        <v>3769</v>
      </c>
      <c r="B18" s="3" t="s">
        <v>11</v>
      </c>
      <c r="C18" s="4">
        <v>2</v>
      </c>
      <c r="D18" s="5">
        <v>3.5</v>
      </c>
      <c r="E18" s="5">
        <v>10.1</v>
      </c>
      <c r="F18" s="6" t="s">
        <v>9</v>
      </c>
      <c r="G18" s="7">
        <f t="shared" si="0"/>
        <v>103</v>
      </c>
      <c r="H18" s="8">
        <v>21.5</v>
      </c>
    </row>
    <row r="19" spans="1:10" x14ac:dyDescent="0.3">
      <c r="A19" s="12">
        <v>3376</v>
      </c>
      <c r="B19" s="3" t="s">
        <v>18</v>
      </c>
      <c r="C19" s="10">
        <v>2</v>
      </c>
      <c r="D19" s="11">
        <v>4.5999999999999996</v>
      </c>
      <c r="E19" s="11">
        <v>11.2</v>
      </c>
      <c r="F19" s="6" t="s">
        <v>9</v>
      </c>
      <c r="G19" s="7">
        <f t="shared" si="0"/>
        <v>108</v>
      </c>
      <c r="H19" s="8">
        <v>21.5</v>
      </c>
    </row>
    <row r="20" spans="1:10" x14ac:dyDescent="0.3">
      <c r="A20" s="12">
        <v>3740</v>
      </c>
      <c r="B20" s="3" t="s">
        <v>11</v>
      </c>
      <c r="C20" s="4">
        <v>2</v>
      </c>
      <c r="D20" s="5">
        <v>4.4000000000000004</v>
      </c>
      <c r="E20" s="5">
        <v>10.6</v>
      </c>
      <c r="F20" s="6" t="s">
        <v>9</v>
      </c>
      <c r="G20" s="7">
        <f t="shared" si="0"/>
        <v>103</v>
      </c>
      <c r="H20" s="8">
        <v>21.6</v>
      </c>
    </row>
    <row r="21" spans="1:10" x14ac:dyDescent="0.3">
      <c r="A21" s="9">
        <v>3506</v>
      </c>
      <c r="B21" s="3" t="s">
        <v>19</v>
      </c>
      <c r="C21" s="10">
        <v>2</v>
      </c>
      <c r="D21" s="11">
        <v>3.5</v>
      </c>
      <c r="E21" s="11">
        <v>10.8</v>
      </c>
      <c r="F21" s="6" t="s">
        <v>9</v>
      </c>
      <c r="G21" s="7">
        <f t="shared" si="0"/>
        <v>106</v>
      </c>
      <c r="H21" s="8">
        <v>22</v>
      </c>
    </row>
    <row r="22" spans="1:10" x14ac:dyDescent="0.3">
      <c r="A22" s="12">
        <v>3186</v>
      </c>
      <c r="B22" s="3" t="s">
        <v>20</v>
      </c>
      <c r="C22" s="4">
        <v>2</v>
      </c>
      <c r="D22" s="5">
        <v>3.4</v>
      </c>
      <c r="E22" s="5">
        <v>11.6</v>
      </c>
      <c r="F22" s="6" t="s">
        <v>9</v>
      </c>
      <c r="G22" s="7">
        <f t="shared" si="0"/>
        <v>111</v>
      </c>
      <c r="H22" s="8">
        <v>22.1</v>
      </c>
    </row>
    <row r="23" spans="1:10" x14ac:dyDescent="0.3">
      <c r="A23" s="9">
        <v>3546</v>
      </c>
      <c r="B23" s="3" t="s">
        <v>10</v>
      </c>
      <c r="C23" s="10">
        <v>2</v>
      </c>
      <c r="D23" s="11">
        <v>4</v>
      </c>
      <c r="E23" s="11">
        <v>10.6</v>
      </c>
      <c r="F23" s="6" t="s">
        <v>9</v>
      </c>
      <c r="G23" s="7">
        <f t="shared" si="0"/>
        <v>105</v>
      </c>
      <c r="H23" s="8">
        <v>22.2</v>
      </c>
    </row>
    <row r="24" spans="1:10" x14ac:dyDescent="0.3">
      <c r="A24" s="9">
        <v>3074</v>
      </c>
      <c r="B24" s="3" t="s">
        <v>21</v>
      </c>
      <c r="C24" s="10">
        <v>2</v>
      </c>
      <c r="D24" s="11">
        <v>3.4</v>
      </c>
      <c r="E24" s="11">
        <v>10.5</v>
      </c>
      <c r="F24" s="6" t="s">
        <v>9</v>
      </c>
      <c r="G24" s="7">
        <f t="shared" si="0"/>
        <v>114</v>
      </c>
      <c r="H24" s="8">
        <v>22.2</v>
      </c>
    </row>
    <row r="25" spans="1:10" x14ac:dyDescent="0.3">
      <c r="A25" s="2">
        <v>3818</v>
      </c>
      <c r="B25" s="3" t="s">
        <v>22</v>
      </c>
      <c r="C25" s="4">
        <v>1</v>
      </c>
      <c r="D25" s="5">
        <v>4.3</v>
      </c>
      <c r="E25" s="5">
        <v>10.8</v>
      </c>
      <c r="F25" s="6" t="s">
        <v>9</v>
      </c>
      <c r="G25" s="7">
        <f t="shared" si="0"/>
        <v>102</v>
      </c>
      <c r="H25" s="8">
        <v>22.3</v>
      </c>
    </row>
    <row r="26" spans="1:10" x14ac:dyDescent="0.3">
      <c r="A26" s="12">
        <v>3633</v>
      </c>
      <c r="B26" s="3" t="s">
        <v>23</v>
      </c>
      <c r="C26" s="4">
        <v>2</v>
      </c>
      <c r="D26" s="5">
        <v>3.5</v>
      </c>
      <c r="E26" s="5">
        <v>9.1999999999999993</v>
      </c>
      <c r="F26" s="6" t="s">
        <v>9</v>
      </c>
      <c r="G26" s="7">
        <f t="shared" si="0"/>
        <v>104</v>
      </c>
      <c r="H26" s="8">
        <v>22.3</v>
      </c>
    </row>
    <row r="27" spans="1:10" x14ac:dyDescent="0.3">
      <c r="A27" s="2">
        <v>3550</v>
      </c>
      <c r="B27" s="3" t="s">
        <v>10</v>
      </c>
      <c r="C27" s="4">
        <v>2</v>
      </c>
      <c r="D27" s="5">
        <v>4.4000000000000004</v>
      </c>
      <c r="E27" s="5">
        <v>10.6</v>
      </c>
      <c r="F27" s="6" t="s">
        <v>9</v>
      </c>
      <c r="G27" s="7">
        <f t="shared" si="0"/>
        <v>105</v>
      </c>
      <c r="H27" s="8">
        <v>22.3</v>
      </c>
    </row>
    <row r="28" spans="1:10" x14ac:dyDescent="0.3">
      <c r="A28" s="2">
        <v>3573</v>
      </c>
      <c r="B28" s="3" t="s">
        <v>10</v>
      </c>
      <c r="C28" s="4">
        <v>2</v>
      </c>
      <c r="D28" s="5">
        <v>4.4000000000000004</v>
      </c>
      <c r="E28" s="5">
        <v>13.5</v>
      </c>
      <c r="F28" s="6" t="s">
        <v>9</v>
      </c>
      <c r="G28" s="7">
        <f t="shared" si="0"/>
        <v>105</v>
      </c>
      <c r="H28" s="8">
        <v>22.3</v>
      </c>
      <c r="I28" s="14" t="s">
        <v>24</v>
      </c>
      <c r="J28" s="15" t="s">
        <v>25</v>
      </c>
    </row>
    <row r="29" spans="1:10" x14ac:dyDescent="0.3">
      <c r="A29" s="9">
        <v>3367</v>
      </c>
      <c r="B29" s="3" t="s">
        <v>18</v>
      </c>
      <c r="C29" s="10">
        <v>2</v>
      </c>
      <c r="D29" s="11">
        <v>3.9</v>
      </c>
      <c r="E29" s="11">
        <v>11.5</v>
      </c>
      <c r="F29" s="6" t="s">
        <v>9</v>
      </c>
      <c r="G29" s="7">
        <f t="shared" si="0"/>
        <v>108</v>
      </c>
      <c r="H29" s="8">
        <v>22.5</v>
      </c>
      <c r="I29" s="16" t="s">
        <v>26</v>
      </c>
    </row>
    <row r="30" spans="1:10" x14ac:dyDescent="0.3">
      <c r="A30" s="9">
        <v>3786</v>
      </c>
      <c r="B30" s="3" t="s">
        <v>11</v>
      </c>
      <c r="C30" s="10">
        <v>2</v>
      </c>
      <c r="D30" s="11">
        <v>4</v>
      </c>
      <c r="E30" s="11">
        <v>9.5</v>
      </c>
      <c r="F30" s="6" t="s">
        <v>9</v>
      </c>
      <c r="G30" s="7">
        <f t="shared" si="0"/>
        <v>103</v>
      </c>
      <c r="H30" s="8">
        <v>22.6</v>
      </c>
      <c r="I30" s="17" t="s">
        <v>27</v>
      </c>
      <c r="J30" s="18">
        <f>AVERAGE(H$2:H$34)</f>
        <v>21.190909090909088</v>
      </c>
    </row>
    <row r="31" spans="1:10" x14ac:dyDescent="0.3">
      <c r="A31" s="2">
        <v>3515</v>
      </c>
      <c r="B31" s="3" t="s">
        <v>19</v>
      </c>
      <c r="C31" s="4">
        <v>1</v>
      </c>
      <c r="D31" s="5">
        <v>3.7</v>
      </c>
      <c r="E31" s="5">
        <v>12.1</v>
      </c>
      <c r="F31" s="6" t="s">
        <v>9</v>
      </c>
      <c r="G31" s="7">
        <f t="shared" si="0"/>
        <v>106</v>
      </c>
      <c r="H31" s="8">
        <v>22.7</v>
      </c>
      <c r="I31" s="17" t="s">
        <v>28</v>
      </c>
      <c r="J31" s="19">
        <f>STDEV(H$2:H$34)</f>
        <v>1.4136308827721871</v>
      </c>
    </row>
    <row r="32" spans="1:10" x14ac:dyDescent="0.3">
      <c r="A32" s="2">
        <v>3653</v>
      </c>
      <c r="B32" s="3" t="s">
        <v>23</v>
      </c>
      <c r="C32" s="4">
        <v>2</v>
      </c>
      <c r="D32" s="5">
        <v>4.5999999999999996</v>
      </c>
      <c r="E32" s="5">
        <v>10.4</v>
      </c>
      <c r="F32" s="6" t="s">
        <v>9</v>
      </c>
      <c r="G32" s="7">
        <f t="shared" si="0"/>
        <v>104</v>
      </c>
      <c r="H32" s="8">
        <v>22.8</v>
      </c>
      <c r="I32" s="17" t="s">
        <v>29</v>
      </c>
      <c r="J32" s="20">
        <f>MIN(H$2:H$34)</f>
        <v>18</v>
      </c>
    </row>
    <row r="33" spans="1:11" x14ac:dyDescent="0.3">
      <c r="A33" s="9">
        <v>3296</v>
      </c>
      <c r="B33" s="3" t="s">
        <v>13</v>
      </c>
      <c r="C33" s="10">
        <v>3</v>
      </c>
      <c r="D33" s="11">
        <v>4.3</v>
      </c>
      <c r="E33" s="11">
        <v>10.4</v>
      </c>
      <c r="F33" s="6" t="s">
        <v>9</v>
      </c>
      <c r="G33" s="7">
        <f t="shared" si="0"/>
        <v>109</v>
      </c>
      <c r="H33" s="8">
        <v>22.8</v>
      </c>
      <c r="I33" s="17" t="s">
        <v>30</v>
      </c>
      <c r="J33" s="20">
        <f>MAX(H$2:H$34)</f>
        <v>23</v>
      </c>
      <c r="K33" s="15"/>
    </row>
    <row r="34" spans="1:11" x14ac:dyDescent="0.3">
      <c r="A34" s="2">
        <v>3587</v>
      </c>
      <c r="B34" s="3" t="s">
        <v>10</v>
      </c>
      <c r="C34" s="4">
        <v>2</v>
      </c>
      <c r="D34" s="5">
        <v>4.3</v>
      </c>
      <c r="E34" s="4">
        <v>11</v>
      </c>
      <c r="F34" s="6" t="s">
        <v>9</v>
      </c>
      <c r="G34" s="7">
        <f t="shared" si="0"/>
        <v>105</v>
      </c>
      <c r="H34" s="8">
        <v>23</v>
      </c>
      <c r="J34" s="15"/>
      <c r="K34" s="15"/>
    </row>
    <row r="35" spans="1:11" x14ac:dyDescent="0.3">
      <c r="A35" s="9">
        <v>3384</v>
      </c>
      <c r="B35" s="3" t="s">
        <v>18</v>
      </c>
      <c r="C35" s="10">
        <v>1</v>
      </c>
      <c r="D35" s="11">
        <v>5.3</v>
      </c>
      <c r="E35" s="11">
        <v>11.8</v>
      </c>
      <c r="F35" s="6" t="s">
        <v>9</v>
      </c>
      <c r="G35" s="7">
        <f t="shared" si="0"/>
        <v>108</v>
      </c>
      <c r="H35" s="21">
        <v>23.2</v>
      </c>
      <c r="J35" s="15"/>
      <c r="K35" s="15"/>
    </row>
    <row r="36" spans="1:11" x14ac:dyDescent="0.3">
      <c r="A36" s="9">
        <v>3329</v>
      </c>
      <c r="B36" s="3" t="s">
        <v>13</v>
      </c>
      <c r="C36" s="10">
        <v>2</v>
      </c>
      <c r="D36" s="11">
        <v>4</v>
      </c>
      <c r="E36" s="11">
        <v>10.7</v>
      </c>
      <c r="F36" s="6" t="s">
        <v>9</v>
      </c>
      <c r="G36" s="7">
        <f t="shared" si="0"/>
        <v>109</v>
      </c>
      <c r="H36" s="21">
        <v>23.2</v>
      </c>
    </row>
    <row r="37" spans="1:11" x14ac:dyDescent="0.3">
      <c r="A37" s="2">
        <v>3484</v>
      </c>
      <c r="B37" s="3" t="s">
        <v>19</v>
      </c>
      <c r="C37" s="4">
        <v>2</v>
      </c>
      <c r="D37" s="5">
        <v>3.4</v>
      </c>
      <c r="E37" s="5">
        <v>10.6</v>
      </c>
      <c r="F37" s="6" t="s">
        <v>9</v>
      </c>
      <c r="G37" s="7">
        <f t="shared" si="0"/>
        <v>106</v>
      </c>
      <c r="H37" s="21">
        <v>23.3</v>
      </c>
    </row>
    <row r="38" spans="1:11" x14ac:dyDescent="0.3">
      <c r="A38" s="9">
        <v>3205</v>
      </c>
      <c r="B38" s="3" t="s">
        <v>20</v>
      </c>
      <c r="C38" s="10">
        <v>2</v>
      </c>
      <c r="D38" s="11">
        <v>3.3</v>
      </c>
      <c r="E38" s="10">
        <v>10</v>
      </c>
      <c r="F38" s="6" t="s">
        <v>9</v>
      </c>
      <c r="G38" s="7">
        <f t="shared" si="0"/>
        <v>111</v>
      </c>
      <c r="H38" s="21">
        <v>23.4</v>
      </c>
    </row>
    <row r="39" spans="1:11" x14ac:dyDescent="0.3">
      <c r="A39" s="12">
        <v>3014</v>
      </c>
      <c r="B39" s="3" t="s">
        <v>31</v>
      </c>
      <c r="C39" s="4">
        <v>2</v>
      </c>
      <c r="D39" s="5">
        <v>3.1</v>
      </c>
      <c r="E39" s="5">
        <v>8.6</v>
      </c>
      <c r="F39" s="6" t="s">
        <v>9</v>
      </c>
      <c r="G39" s="7">
        <f t="shared" si="0"/>
        <v>115</v>
      </c>
      <c r="H39" s="21">
        <v>23.4</v>
      </c>
    </row>
    <row r="40" spans="1:11" x14ac:dyDescent="0.3">
      <c r="A40" s="2">
        <v>3206</v>
      </c>
      <c r="B40" s="3" t="s">
        <v>20</v>
      </c>
      <c r="C40" s="4">
        <v>2</v>
      </c>
      <c r="D40" s="5">
        <v>4.3</v>
      </c>
      <c r="E40" s="5">
        <v>12.6</v>
      </c>
      <c r="F40" s="6" t="s">
        <v>9</v>
      </c>
      <c r="G40" s="7">
        <f t="shared" si="0"/>
        <v>111</v>
      </c>
      <c r="H40" s="21">
        <v>23.5</v>
      </c>
    </row>
    <row r="41" spans="1:11" x14ac:dyDescent="0.3">
      <c r="A41" s="12">
        <v>3003</v>
      </c>
      <c r="B41" s="3" t="s">
        <v>31</v>
      </c>
      <c r="C41" s="10">
        <v>2</v>
      </c>
      <c r="D41" s="11">
        <v>3.6</v>
      </c>
      <c r="E41" s="11">
        <v>9.1999999999999993</v>
      </c>
      <c r="F41" s="6" t="s">
        <v>9</v>
      </c>
      <c r="G41" s="7">
        <f t="shared" si="0"/>
        <v>115</v>
      </c>
      <c r="H41" s="21">
        <v>23.5</v>
      </c>
    </row>
    <row r="42" spans="1:11" x14ac:dyDescent="0.3">
      <c r="A42" s="2">
        <v>3518</v>
      </c>
      <c r="B42" s="3" t="s">
        <v>19</v>
      </c>
      <c r="C42" s="4">
        <v>1</v>
      </c>
      <c r="D42" s="5">
        <v>4</v>
      </c>
      <c r="E42" s="5">
        <v>12.9</v>
      </c>
      <c r="F42" s="6" t="s">
        <v>9</v>
      </c>
      <c r="G42" s="7">
        <f t="shared" si="0"/>
        <v>106</v>
      </c>
      <c r="H42" s="21">
        <v>23.7</v>
      </c>
    </row>
    <row r="43" spans="1:11" x14ac:dyDescent="0.3">
      <c r="A43" s="12">
        <v>3556</v>
      </c>
      <c r="B43" s="3" t="s">
        <v>10</v>
      </c>
      <c r="C43" s="4">
        <v>2</v>
      </c>
      <c r="D43" s="5">
        <v>4.2</v>
      </c>
      <c r="E43" s="5">
        <v>10.7</v>
      </c>
      <c r="F43" s="6" t="s">
        <v>9</v>
      </c>
      <c r="G43" s="7">
        <f t="shared" si="0"/>
        <v>105</v>
      </c>
      <c r="H43" s="21">
        <v>23.8</v>
      </c>
    </row>
    <row r="44" spans="1:11" x14ac:dyDescent="0.3">
      <c r="A44" s="12">
        <v>3537</v>
      </c>
      <c r="B44" s="3" t="s">
        <v>10</v>
      </c>
      <c r="C44" s="4">
        <v>2</v>
      </c>
      <c r="D44" s="5">
        <v>4.3</v>
      </c>
      <c r="E44" s="5">
        <v>11.4</v>
      </c>
      <c r="F44" s="6" t="s">
        <v>9</v>
      </c>
      <c r="G44" s="7">
        <f t="shared" si="0"/>
        <v>105</v>
      </c>
      <c r="H44" s="21">
        <v>23.9</v>
      </c>
    </row>
    <row r="45" spans="1:11" x14ac:dyDescent="0.3">
      <c r="A45" s="2">
        <v>3789</v>
      </c>
      <c r="B45" s="3" t="s">
        <v>11</v>
      </c>
      <c r="C45" s="4">
        <v>1</v>
      </c>
      <c r="D45" s="5">
        <v>4.8</v>
      </c>
      <c r="E45" s="5">
        <v>12.4</v>
      </c>
      <c r="F45" s="6" t="s">
        <v>9</v>
      </c>
      <c r="G45" s="7">
        <f t="shared" si="0"/>
        <v>103</v>
      </c>
      <c r="H45" s="21">
        <v>24</v>
      </c>
    </row>
    <row r="46" spans="1:11" x14ac:dyDescent="0.3">
      <c r="A46" s="12">
        <v>3858</v>
      </c>
      <c r="B46" s="3" t="s">
        <v>22</v>
      </c>
      <c r="C46" s="10">
        <v>1</v>
      </c>
      <c r="D46" s="11">
        <v>3.8</v>
      </c>
      <c r="E46" s="11">
        <v>12.6</v>
      </c>
      <c r="F46" s="6" t="s">
        <v>9</v>
      </c>
      <c r="G46" s="7">
        <f t="shared" si="0"/>
        <v>102</v>
      </c>
      <c r="H46" s="21">
        <v>24.1</v>
      </c>
    </row>
    <row r="47" spans="1:11" x14ac:dyDescent="0.3">
      <c r="A47" s="2">
        <v>3996</v>
      </c>
      <c r="B47" s="3" t="s">
        <v>32</v>
      </c>
      <c r="C47" s="4">
        <v>1</v>
      </c>
      <c r="D47" s="5">
        <v>4.5</v>
      </c>
      <c r="E47" s="5">
        <v>10.7</v>
      </c>
      <c r="F47" s="6" t="s">
        <v>9</v>
      </c>
      <c r="G47" s="7">
        <f t="shared" si="0"/>
        <v>96</v>
      </c>
      <c r="H47" s="21">
        <v>24.2</v>
      </c>
    </row>
    <row r="48" spans="1:11" x14ac:dyDescent="0.3">
      <c r="A48" s="9">
        <v>3869</v>
      </c>
      <c r="B48" s="3" t="s">
        <v>22</v>
      </c>
      <c r="C48" s="10">
        <v>2</v>
      </c>
      <c r="D48" s="11">
        <v>3</v>
      </c>
      <c r="E48" s="11">
        <v>12.1</v>
      </c>
      <c r="F48" s="6" t="s">
        <v>9</v>
      </c>
      <c r="G48" s="7">
        <f t="shared" si="0"/>
        <v>102</v>
      </c>
      <c r="H48" s="21">
        <v>24.2</v>
      </c>
    </row>
    <row r="49" spans="1:10" x14ac:dyDescent="0.3">
      <c r="A49" s="2">
        <v>3119</v>
      </c>
      <c r="B49" s="3" t="s">
        <v>33</v>
      </c>
      <c r="C49" s="4">
        <v>1</v>
      </c>
      <c r="D49" s="5">
        <v>4.0999999999999996</v>
      </c>
      <c r="E49" s="4">
        <v>12</v>
      </c>
      <c r="F49" s="6" t="s">
        <v>9</v>
      </c>
      <c r="G49" s="7">
        <f t="shared" si="0"/>
        <v>112</v>
      </c>
      <c r="H49" s="21">
        <v>24.2</v>
      </c>
    </row>
    <row r="50" spans="1:10" x14ac:dyDescent="0.3">
      <c r="A50" s="2">
        <v>3158</v>
      </c>
      <c r="B50" s="3" t="s">
        <v>33</v>
      </c>
      <c r="C50" s="4">
        <v>2</v>
      </c>
      <c r="D50" s="5">
        <v>4.3</v>
      </c>
      <c r="E50" s="5">
        <v>11.4</v>
      </c>
      <c r="F50" s="6" t="s">
        <v>9</v>
      </c>
      <c r="G50" s="7">
        <f t="shared" si="0"/>
        <v>112</v>
      </c>
      <c r="H50" s="21">
        <v>24.2</v>
      </c>
    </row>
    <row r="51" spans="1:10" x14ac:dyDescent="0.3">
      <c r="A51" s="12">
        <v>3758</v>
      </c>
      <c r="B51" s="3" t="s">
        <v>11</v>
      </c>
      <c r="C51" s="10">
        <v>2</v>
      </c>
      <c r="D51" s="11">
        <v>4</v>
      </c>
      <c r="E51" s="11">
        <v>10.4</v>
      </c>
      <c r="F51" s="6" t="s">
        <v>9</v>
      </c>
      <c r="G51" s="7">
        <f t="shared" si="0"/>
        <v>103</v>
      </c>
      <c r="H51" s="21">
        <v>24.3</v>
      </c>
    </row>
    <row r="52" spans="1:10" x14ac:dyDescent="0.3">
      <c r="A52" s="12">
        <v>3634</v>
      </c>
      <c r="B52" s="3" t="s">
        <v>23</v>
      </c>
      <c r="C52" s="10">
        <v>2</v>
      </c>
      <c r="D52" s="11">
        <v>4</v>
      </c>
      <c r="E52" s="10">
        <v>10</v>
      </c>
      <c r="F52" s="6" t="s">
        <v>9</v>
      </c>
      <c r="G52" s="7">
        <f t="shared" si="0"/>
        <v>104</v>
      </c>
      <c r="H52" s="21">
        <v>24.3</v>
      </c>
    </row>
    <row r="53" spans="1:10" x14ac:dyDescent="0.3">
      <c r="A53" s="12">
        <v>3185</v>
      </c>
      <c r="B53" s="3" t="s">
        <v>20</v>
      </c>
      <c r="C53" s="10">
        <v>2</v>
      </c>
      <c r="D53" s="11">
        <v>3.5</v>
      </c>
      <c r="E53" s="11">
        <v>11.2</v>
      </c>
      <c r="F53" s="6" t="s">
        <v>9</v>
      </c>
      <c r="G53" s="7">
        <f t="shared" si="0"/>
        <v>111</v>
      </c>
      <c r="H53" s="21">
        <v>24.3</v>
      </c>
    </row>
    <row r="54" spans="1:10" x14ac:dyDescent="0.3">
      <c r="A54" s="12">
        <v>3015</v>
      </c>
      <c r="B54" s="3" t="s">
        <v>31</v>
      </c>
      <c r="C54" s="10">
        <v>2</v>
      </c>
      <c r="D54" s="11">
        <v>3.5</v>
      </c>
      <c r="E54" s="11">
        <v>8.6</v>
      </c>
      <c r="F54" s="6" t="s">
        <v>9</v>
      </c>
      <c r="G54" s="7">
        <f t="shared" si="0"/>
        <v>115</v>
      </c>
      <c r="H54" s="21">
        <v>24.3</v>
      </c>
    </row>
    <row r="55" spans="1:10" x14ac:dyDescent="0.3">
      <c r="A55" s="12">
        <v>3004</v>
      </c>
      <c r="B55" s="3" t="s">
        <v>31</v>
      </c>
      <c r="C55" s="4">
        <v>2</v>
      </c>
      <c r="D55" s="5">
        <v>4</v>
      </c>
      <c r="E55" s="5">
        <v>9.1999999999999993</v>
      </c>
      <c r="F55" s="6" t="s">
        <v>9</v>
      </c>
      <c r="G55" s="7">
        <f t="shared" si="0"/>
        <v>115</v>
      </c>
      <c r="H55" s="21">
        <v>24.3</v>
      </c>
    </row>
    <row r="56" spans="1:10" x14ac:dyDescent="0.3">
      <c r="A56" s="12">
        <v>3251</v>
      </c>
      <c r="B56" s="3" t="s">
        <v>8</v>
      </c>
      <c r="C56" s="10">
        <v>2</v>
      </c>
      <c r="D56" s="11">
        <v>3.2</v>
      </c>
      <c r="E56" s="11">
        <v>10.8</v>
      </c>
      <c r="F56" s="6" t="s">
        <v>9</v>
      </c>
      <c r="G56" s="7">
        <f t="shared" si="0"/>
        <v>110</v>
      </c>
      <c r="H56" s="21">
        <v>24.4</v>
      </c>
    </row>
    <row r="57" spans="1:10" x14ac:dyDescent="0.3">
      <c r="A57" s="2">
        <v>3445</v>
      </c>
      <c r="B57" s="3" t="s">
        <v>34</v>
      </c>
      <c r="C57" s="4">
        <v>2</v>
      </c>
      <c r="D57" s="5">
        <v>3.8</v>
      </c>
      <c r="E57" s="4">
        <v>12</v>
      </c>
      <c r="F57" s="6" t="s">
        <v>9</v>
      </c>
      <c r="G57" s="7">
        <f t="shared" si="0"/>
        <v>107</v>
      </c>
      <c r="H57" s="21">
        <v>24.7</v>
      </c>
    </row>
    <row r="58" spans="1:10" x14ac:dyDescent="0.3">
      <c r="A58" s="12">
        <v>3765</v>
      </c>
      <c r="B58" s="3" t="s">
        <v>11</v>
      </c>
      <c r="C58" s="4">
        <v>2</v>
      </c>
      <c r="D58" s="5">
        <v>3.3</v>
      </c>
      <c r="E58" s="5">
        <v>10.199999999999999</v>
      </c>
      <c r="F58" s="6" t="s">
        <v>9</v>
      </c>
      <c r="G58" s="7">
        <f t="shared" si="0"/>
        <v>103</v>
      </c>
      <c r="H58" s="21">
        <v>24.9</v>
      </c>
    </row>
    <row r="59" spans="1:10" x14ac:dyDescent="0.3">
      <c r="A59" s="2">
        <v>3294</v>
      </c>
      <c r="B59" s="3" t="s">
        <v>13</v>
      </c>
      <c r="C59" s="4">
        <v>2</v>
      </c>
      <c r="D59" s="5">
        <v>4.5</v>
      </c>
      <c r="E59" s="5">
        <v>10.7</v>
      </c>
      <c r="F59" s="6" t="s">
        <v>9</v>
      </c>
      <c r="G59" s="7">
        <f t="shared" si="0"/>
        <v>109</v>
      </c>
      <c r="H59" s="21">
        <v>25</v>
      </c>
    </row>
    <row r="60" spans="1:10" x14ac:dyDescent="0.3">
      <c r="A60" s="12">
        <v>3273</v>
      </c>
      <c r="B60" s="3" t="s">
        <v>8</v>
      </c>
      <c r="C60" s="10">
        <v>2</v>
      </c>
      <c r="D60" s="11">
        <v>4.4000000000000004</v>
      </c>
      <c r="E60" s="11">
        <v>12.2</v>
      </c>
      <c r="F60" s="6" t="s">
        <v>9</v>
      </c>
      <c r="G60" s="7">
        <f t="shared" si="0"/>
        <v>110</v>
      </c>
      <c r="H60" s="21">
        <v>25.2</v>
      </c>
    </row>
    <row r="61" spans="1:10" x14ac:dyDescent="0.3">
      <c r="A61" s="2">
        <v>3873</v>
      </c>
      <c r="B61" s="3" t="s">
        <v>22</v>
      </c>
      <c r="C61" s="4">
        <v>1</v>
      </c>
      <c r="D61" s="5">
        <v>5</v>
      </c>
      <c r="E61" s="5">
        <v>13.5</v>
      </c>
      <c r="F61" s="6" t="s">
        <v>9</v>
      </c>
      <c r="G61" s="7">
        <f t="shared" si="0"/>
        <v>102</v>
      </c>
      <c r="H61" s="21">
        <v>25.3</v>
      </c>
    </row>
    <row r="62" spans="1:10" x14ac:dyDescent="0.3">
      <c r="A62" s="2">
        <v>3092</v>
      </c>
      <c r="B62" s="3" t="s">
        <v>16</v>
      </c>
      <c r="C62" s="4">
        <v>2</v>
      </c>
      <c r="D62" s="5">
        <v>4</v>
      </c>
      <c r="E62" s="5">
        <v>11.7</v>
      </c>
      <c r="F62" s="6" t="s">
        <v>9</v>
      </c>
      <c r="G62" s="7">
        <f t="shared" si="0"/>
        <v>113</v>
      </c>
      <c r="H62" s="21">
        <v>25.3</v>
      </c>
      <c r="I62" s="22" t="s">
        <v>35</v>
      </c>
      <c r="J62" s="15" t="s">
        <v>36</v>
      </c>
    </row>
    <row r="63" spans="1:10" x14ac:dyDescent="0.3">
      <c r="A63" s="2">
        <v>4196</v>
      </c>
      <c r="B63" s="3" t="s">
        <v>37</v>
      </c>
      <c r="C63" s="4">
        <v>1</v>
      </c>
      <c r="D63" s="5">
        <v>6</v>
      </c>
      <c r="E63" s="5">
        <v>13.5</v>
      </c>
      <c r="F63" s="6" t="s">
        <v>9</v>
      </c>
      <c r="G63" s="7">
        <f t="shared" si="0"/>
        <v>89</v>
      </c>
      <c r="H63" s="21">
        <v>25.4</v>
      </c>
      <c r="I63" s="16" t="s">
        <v>26</v>
      </c>
    </row>
    <row r="64" spans="1:10" x14ac:dyDescent="0.3">
      <c r="A64" s="2">
        <v>3962</v>
      </c>
      <c r="B64" s="3" t="s">
        <v>12</v>
      </c>
      <c r="C64" s="4">
        <v>2</v>
      </c>
      <c r="D64" s="5">
        <v>4.7</v>
      </c>
      <c r="E64" s="5">
        <v>11.9</v>
      </c>
      <c r="F64" s="6" t="s">
        <v>9</v>
      </c>
      <c r="G64" s="7">
        <f t="shared" si="0"/>
        <v>98</v>
      </c>
      <c r="H64" s="21">
        <v>25.4</v>
      </c>
      <c r="I64" s="17" t="s">
        <v>27</v>
      </c>
      <c r="J64" s="18">
        <f>AVERAGE(H$35:H$67)</f>
        <v>24.351515151515148</v>
      </c>
    </row>
    <row r="65" spans="1:10" x14ac:dyDescent="0.3">
      <c r="A65" s="2">
        <v>3722</v>
      </c>
      <c r="B65" s="3" t="s">
        <v>11</v>
      </c>
      <c r="C65" s="4">
        <v>1</v>
      </c>
      <c r="D65" s="5">
        <v>4.0999999999999996</v>
      </c>
      <c r="E65" s="5">
        <v>13.4</v>
      </c>
      <c r="F65" s="6" t="s">
        <v>9</v>
      </c>
      <c r="G65" s="7">
        <f t="shared" si="0"/>
        <v>103</v>
      </c>
      <c r="H65" s="21">
        <v>25.4</v>
      </c>
      <c r="I65" s="17" t="s">
        <v>28</v>
      </c>
      <c r="J65" s="19">
        <f>STDEV(H$35:H$67)</f>
        <v>0.75668735788022612</v>
      </c>
    </row>
    <row r="66" spans="1:10" x14ac:dyDescent="0.3">
      <c r="A66" s="12">
        <v>3690</v>
      </c>
      <c r="B66" s="3" t="s">
        <v>23</v>
      </c>
      <c r="C66" s="4">
        <v>2</v>
      </c>
      <c r="D66" s="5">
        <v>3.9</v>
      </c>
      <c r="E66" s="4">
        <v>10</v>
      </c>
      <c r="F66" s="6" t="s">
        <v>9</v>
      </c>
      <c r="G66" s="7">
        <f t="shared" si="0"/>
        <v>104</v>
      </c>
      <c r="H66" s="21">
        <v>25.5</v>
      </c>
      <c r="I66" s="17" t="s">
        <v>29</v>
      </c>
      <c r="J66" s="20">
        <f>MIN(H$35:H$67)</f>
        <v>23.2</v>
      </c>
    </row>
    <row r="67" spans="1:10" x14ac:dyDescent="0.3">
      <c r="A67" s="9">
        <v>3724</v>
      </c>
      <c r="B67" s="3" t="s">
        <v>11</v>
      </c>
      <c r="C67" s="10">
        <v>1</v>
      </c>
      <c r="D67" s="11">
        <v>4.8</v>
      </c>
      <c r="E67" s="11">
        <v>13.5</v>
      </c>
      <c r="F67" s="6" t="s">
        <v>9</v>
      </c>
      <c r="G67" s="7">
        <f t="shared" ref="G67:G100" si="1">F67-B67</f>
        <v>103</v>
      </c>
      <c r="H67" s="21">
        <v>25.8</v>
      </c>
      <c r="I67" s="17" t="s">
        <v>30</v>
      </c>
      <c r="J67" s="20">
        <f>MAX(H$35:H$67)</f>
        <v>25.8</v>
      </c>
    </row>
    <row r="68" spans="1:10" x14ac:dyDescent="0.3">
      <c r="A68" s="9">
        <v>3517</v>
      </c>
      <c r="B68" s="3" t="s">
        <v>19</v>
      </c>
      <c r="C68" s="10">
        <v>2</v>
      </c>
      <c r="D68" s="11">
        <v>3.7</v>
      </c>
      <c r="E68" s="10">
        <v>11</v>
      </c>
      <c r="F68" s="6" t="s">
        <v>9</v>
      </c>
      <c r="G68" s="7">
        <f t="shared" si="1"/>
        <v>106</v>
      </c>
      <c r="H68" s="23">
        <v>26</v>
      </c>
    </row>
    <row r="69" spans="1:10" x14ac:dyDescent="0.3">
      <c r="A69" s="12">
        <v>3375</v>
      </c>
      <c r="B69" s="3" t="s">
        <v>18</v>
      </c>
      <c r="C69" s="4">
        <v>2</v>
      </c>
      <c r="D69" s="5">
        <v>4.5</v>
      </c>
      <c r="E69" s="5">
        <v>11.4</v>
      </c>
      <c r="F69" s="6" t="s">
        <v>9</v>
      </c>
      <c r="G69" s="7">
        <f t="shared" si="1"/>
        <v>108</v>
      </c>
      <c r="H69" s="23">
        <v>26</v>
      </c>
    </row>
    <row r="70" spans="1:10" x14ac:dyDescent="0.3">
      <c r="A70" s="2">
        <v>3657</v>
      </c>
      <c r="B70" s="3" t="s">
        <v>23</v>
      </c>
      <c r="C70" s="4">
        <v>2</v>
      </c>
      <c r="D70" s="5">
        <v>3.8</v>
      </c>
      <c r="E70" s="4">
        <v>12</v>
      </c>
      <c r="F70" s="6" t="s">
        <v>9</v>
      </c>
      <c r="G70" s="7">
        <f t="shared" si="1"/>
        <v>104</v>
      </c>
      <c r="H70" s="23">
        <v>26.1</v>
      </c>
    </row>
    <row r="71" spans="1:10" x14ac:dyDescent="0.3">
      <c r="A71" s="9">
        <v>3589</v>
      </c>
      <c r="B71" s="3" t="s">
        <v>10</v>
      </c>
      <c r="C71" s="10">
        <v>1</v>
      </c>
      <c r="D71" s="11">
        <v>3.9</v>
      </c>
      <c r="E71" s="11">
        <v>12.6</v>
      </c>
      <c r="F71" s="6" t="s">
        <v>9</v>
      </c>
      <c r="G71" s="7">
        <f t="shared" si="1"/>
        <v>105</v>
      </c>
      <c r="H71" s="23">
        <v>26.2</v>
      </c>
    </row>
    <row r="72" spans="1:10" x14ac:dyDescent="0.3">
      <c r="A72" s="2">
        <v>3109</v>
      </c>
      <c r="B72" s="3" t="s">
        <v>33</v>
      </c>
      <c r="C72" s="4">
        <v>1</v>
      </c>
      <c r="D72" s="5">
        <v>4</v>
      </c>
      <c r="E72" s="5">
        <v>12.9</v>
      </c>
      <c r="F72" s="6" t="s">
        <v>9</v>
      </c>
      <c r="G72" s="7">
        <f t="shared" si="1"/>
        <v>112</v>
      </c>
      <c r="H72" s="23">
        <v>26.5</v>
      </c>
    </row>
    <row r="73" spans="1:10" x14ac:dyDescent="0.3">
      <c r="A73" s="2">
        <v>3277</v>
      </c>
      <c r="B73" s="3" t="s">
        <v>8</v>
      </c>
      <c r="C73" s="4">
        <v>1</v>
      </c>
      <c r="D73" s="5">
        <v>5.7</v>
      </c>
      <c r="E73" s="5">
        <v>13.1</v>
      </c>
      <c r="F73" s="6" t="s">
        <v>9</v>
      </c>
      <c r="G73" s="7">
        <f t="shared" si="1"/>
        <v>110</v>
      </c>
      <c r="H73" s="23">
        <v>26.6</v>
      </c>
    </row>
    <row r="74" spans="1:10" x14ac:dyDescent="0.3">
      <c r="A74" s="9">
        <v>3461</v>
      </c>
      <c r="B74" s="3" t="s">
        <v>34</v>
      </c>
      <c r="C74" s="10">
        <v>2</v>
      </c>
      <c r="D74" s="11">
        <v>3.9</v>
      </c>
      <c r="E74" s="11">
        <v>11.4</v>
      </c>
      <c r="F74" s="6" t="s">
        <v>9</v>
      </c>
      <c r="G74" s="7">
        <f t="shared" si="1"/>
        <v>107</v>
      </c>
      <c r="H74" s="23">
        <v>26.7</v>
      </c>
    </row>
    <row r="75" spans="1:10" x14ac:dyDescent="0.3">
      <c r="A75" s="9">
        <v>3266</v>
      </c>
      <c r="B75" s="3" t="s">
        <v>8</v>
      </c>
      <c r="C75" s="10">
        <v>1</v>
      </c>
      <c r="D75" s="11">
        <v>6.1</v>
      </c>
      <c r="E75" s="11">
        <v>16.399999999999999</v>
      </c>
      <c r="F75" s="6" t="s">
        <v>9</v>
      </c>
      <c r="G75" s="7">
        <f t="shared" si="1"/>
        <v>110</v>
      </c>
      <c r="H75" s="23">
        <v>26.8</v>
      </c>
    </row>
    <row r="76" spans="1:10" x14ac:dyDescent="0.3">
      <c r="A76" s="9">
        <v>3613</v>
      </c>
      <c r="B76" s="3" t="s">
        <v>10</v>
      </c>
      <c r="C76" s="10">
        <v>2</v>
      </c>
      <c r="D76" s="11">
        <v>4.2</v>
      </c>
      <c r="E76" s="11">
        <v>13.5</v>
      </c>
      <c r="F76" s="6" t="s">
        <v>9</v>
      </c>
      <c r="G76" s="7">
        <f t="shared" si="1"/>
        <v>105</v>
      </c>
      <c r="H76" s="23">
        <v>27.2</v>
      </c>
    </row>
    <row r="77" spans="1:10" x14ac:dyDescent="0.3">
      <c r="A77" s="2">
        <v>4207</v>
      </c>
      <c r="B77" s="3" t="s">
        <v>37</v>
      </c>
      <c r="C77" s="4">
        <v>1</v>
      </c>
      <c r="D77" s="5">
        <v>5.5</v>
      </c>
      <c r="E77" s="5">
        <v>14.8</v>
      </c>
      <c r="F77" s="6" t="s">
        <v>9</v>
      </c>
      <c r="G77" s="7">
        <f t="shared" si="1"/>
        <v>89</v>
      </c>
      <c r="H77" s="23">
        <v>27.4</v>
      </c>
    </row>
    <row r="78" spans="1:10" x14ac:dyDescent="0.3">
      <c r="A78" s="2">
        <v>3240</v>
      </c>
      <c r="B78" s="3" t="s">
        <v>8</v>
      </c>
      <c r="C78" s="4">
        <v>1</v>
      </c>
      <c r="D78" s="5">
        <v>5.3</v>
      </c>
      <c r="E78" s="5">
        <v>13.9</v>
      </c>
      <c r="F78" s="6" t="s">
        <v>9</v>
      </c>
      <c r="G78" s="7">
        <f t="shared" si="1"/>
        <v>110</v>
      </c>
      <c r="H78" s="23">
        <v>27.4</v>
      </c>
    </row>
    <row r="79" spans="1:10" x14ac:dyDescent="0.3">
      <c r="A79" s="2">
        <v>3931</v>
      </c>
      <c r="B79" s="3" t="s">
        <v>38</v>
      </c>
      <c r="C79" s="4">
        <v>1</v>
      </c>
      <c r="D79" s="5">
        <v>6.1</v>
      </c>
      <c r="E79" s="5">
        <v>15.3</v>
      </c>
      <c r="F79" s="6" t="s">
        <v>9</v>
      </c>
      <c r="G79" s="7">
        <f t="shared" si="1"/>
        <v>100</v>
      </c>
      <c r="H79" s="23">
        <v>27.7</v>
      </c>
    </row>
    <row r="80" spans="1:10" x14ac:dyDescent="0.3">
      <c r="A80" s="2">
        <v>3327</v>
      </c>
      <c r="B80" s="3" t="s">
        <v>13</v>
      </c>
      <c r="C80" s="4">
        <v>1</v>
      </c>
      <c r="D80" s="5">
        <v>4.7</v>
      </c>
      <c r="E80" s="5">
        <v>14.2</v>
      </c>
      <c r="F80" s="6" t="s">
        <v>9</v>
      </c>
      <c r="G80" s="7">
        <f t="shared" si="1"/>
        <v>109</v>
      </c>
      <c r="H80" s="23">
        <v>27.7</v>
      </c>
    </row>
    <row r="81" spans="1:10" x14ac:dyDescent="0.3">
      <c r="A81" s="12">
        <v>3766</v>
      </c>
      <c r="B81" s="3" t="s">
        <v>11</v>
      </c>
      <c r="C81" s="10">
        <v>2</v>
      </c>
      <c r="D81" s="11">
        <v>3.6</v>
      </c>
      <c r="E81" s="11">
        <v>10.6</v>
      </c>
      <c r="F81" s="6" t="s">
        <v>9</v>
      </c>
      <c r="G81" s="7">
        <f t="shared" si="1"/>
        <v>103</v>
      </c>
      <c r="H81" s="23">
        <v>27.8</v>
      </c>
    </row>
    <row r="82" spans="1:10" x14ac:dyDescent="0.3">
      <c r="A82" s="9">
        <v>3640</v>
      </c>
      <c r="B82" s="3" t="s">
        <v>23</v>
      </c>
      <c r="C82" s="10">
        <v>2</v>
      </c>
      <c r="D82" s="11">
        <v>4.9000000000000004</v>
      </c>
      <c r="E82" s="11">
        <v>12.6</v>
      </c>
      <c r="F82" s="6" t="s">
        <v>9</v>
      </c>
      <c r="G82" s="7">
        <f t="shared" si="1"/>
        <v>104</v>
      </c>
      <c r="H82" s="23">
        <v>28</v>
      </c>
    </row>
    <row r="83" spans="1:10" x14ac:dyDescent="0.3">
      <c r="A83" s="9">
        <v>3128</v>
      </c>
      <c r="B83" s="3" t="s">
        <v>33</v>
      </c>
      <c r="C83" s="10">
        <v>1</v>
      </c>
      <c r="D83" s="11">
        <v>5.2</v>
      </c>
      <c r="E83" s="11">
        <v>14.3</v>
      </c>
      <c r="F83" s="6" t="s">
        <v>9</v>
      </c>
      <c r="G83" s="7">
        <f t="shared" si="1"/>
        <v>112</v>
      </c>
      <c r="H83" s="23">
        <v>28.6</v>
      </c>
    </row>
    <row r="84" spans="1:10" x14ac:dyDescent="0.3">
      <c r="A84" s="2">
        <v>3126</v>
      </c>
      <c r="B84" s="3" t="s">
        <v>33</v>
      </c>
      <c r="C84" s="4">
        <v>1</v>
      </c>
      <c r="D84" s="5">
        <v>5.3</v>
      </c>
      <c r="E84" s="5">
        <v>13.8</v>
      </c>
      <c r="F84" s="6" t="s">
        <v>9</v>
      </c>
      <c r="G84" s="7">
        <f t="shared" si="1"/>
        <v>112</v>
      </c>
      <c r="H84" s="23">
        <v>28.7</v>
      </c>
    </row>
    <row r="85" spans="1:10" x14ac:dyDescent="0.3">
      <c r="A85" s="2">
        <v>3030</v>
      </c>
      <c r="B85" s="3" t="s">
        <v>31</v>
      </c>
      <c r="C85" s="4">
        <v>1</v>
      </c>
      <c r="D85" s="5">
        <v>4.5999999999999996</v>
      </c>
      <c r="E85" s="5">
        <v>14.5</v>
      </c>
      <c r="F85" s="6" t="s">
        <v>9</v>
      </c>
      <c r="G85" s="7">
        <f t="shared" si="1"/>
        <v>115</v>
      </c>
      <c r="H85" s="23">
        <v>28.7</v>
      </c>
    </row>
    <row r="86" spans="1:10" x14ac:dyDescent="0.3">
      <c r="A86" s="2">
        <v>4173</v>
      </c>
      <c r="B86" s="3" t="s">
        <v>15</v>
      </c>
      <c r="C86" s="4">
        <v>1</v>
      </c>
      <c r="D86" s="5">
        <v>5.6</v>
      </c>
      <c r="E86" s="5">
        <v>14.4</v>
      </c>
      <c r="F86" s="6" t="s">
        <v>9</v>
      </c>
      <c r="G86" s="7">
        <f t="shared" si="1"/>
        <v>90</v>
      </c>
      <c r="H86" s="23">
        <v>29</v>
      </c>
    </row>
    <row r="87" spans="1:10" x14ac:dyDescent="0.3">
      <c r="A87" s="9">
        <v>3625</v>
      </c>
      <c r="B87" s="3" t="s">
        <v>10</v>
      </c>
      <c r="C87" s="10">
        <v>1</v>
      </c>
      <c r="D87" s="11">
        <v>6</v>
      </c>
      <c r="E87" s="11">
        <v>16.2</v>
      </c>
      <c r="F87" s="6" t="s">
        <v>9</v>
      </c>
      <c r="G87" s="7">
        <f t="shared" si="1"/>
        <v>105</v>
      </c>
      <c r="H87" s="23">
        <v>29</v>
      </c>
    </row>
    <row r="88" spans="1:10" x14ac:dyDescent="0.3">
      <c r="A88" s="12">
        <v>3096</v>
      </c>
      <c r="B88" s="3" t="s">
        <v>16</v>
      </c>
      <c r="C88" s="4">
        <v>1</v>
      </c>
      <c r="D88" s="5">
        <v>4.5999999999999996</v>
      </c>
      <c r="E88" s="5">
        <v>13.8</v>
      </c>
      <c r="F88" s="6" t="s">
        <v>9</v>
      </c>
      <c r="G88" s="7">
        <f t="shared" si="1"/>
        <v>113</v>
      </c>
      <c r="H88" s="23">
        <v>29.2</v>
      </c>
    </row>
    <row r="89" spans="1:10" x14ac:dyDescent="0.3">
      <c r="A89" s="9">
        <v>3993</v>
      </c>
      <c r="B89" s="3" t="s">
        <v>32</v>
      </c>
      <c r="C89" s="10">
        <v>1</v>
      </c>
      <c r="D89" s="11">
        <v>5</v>
      </c>
      <c r="E89" s="10">
        <v>14</v>
      </c>
      <c r="F89" s="6" t="s">
        <v>9</v>
      </c>
      <c r="G89" s="7">
        <f t="shared" si="1"/>
        <v>96</v>
      </c>
      <c r="H89" s="23">
        <v>29.5</v>
      </c>
    </row>
    <row r="90" spans="1:10" x14ac:dyDescent="0.3">
      <c r="A90" s="9">
        <v>3941</v>
      </c>
      <c r="B90" s="3" t="s">
        <v>38</v>
      </c>
      <c r="C90" s="10">
        <v>1</v>
      </c>
      <c r="D90" s="11">
        <v>5</v>
      </c>
      <c r="E90" s="11">
        <v>14.5</v>
      </c>
      <c r="F90" s="6" t="s">
        <v>9</v>
      </c>
      <c r="G90" s="7">
        <f t="shared" si="1"/>
        <v>100</v>
      </c>
      <c r="H90" s="23">
        <v>29.5</v>
      </c>
    </row>
    <row r="91" spans="1:10" x14ac:dyDescent="0.3">
      <c r="A91" s="2">
        <v>3726</v>
      </c>
      <c r="B91" s="3" t="s">
        <v>11</v>
      </c>
      <c r="C91" s="4">
        <v>1</v>
      </c>
      <c r="D91" s="5">
        <v>5.6</v>
      </c>
      <c r="E91" s="5">
        <v>15.5</v>
      </c>
      <c r="F91" s="6" t="s">
        <v>9</v>
      </c>
      <c r="G91" s="7">
        <f t="shared" si="1"/>
        <v>103</v>
      </c>
      <c r="H91" s="23">
        <v>29.7</v>
      </c>
    </row>
    <row r="92" spans="1:10" x14ac:dyDescent="0.3">
      <c r="A92" s="12">
        <v>3689</v>
      </c>
      <c r="B92" s="3" t="s">
        <v>23</v>
      </c>
      <c r="C92" s="10">
        <v>2</v>
      </c>
      <c r="D92" s="11">
        <v>4.3</v>
      </c>
      <c r="E92" s="11">
        <v>11.8</v>
      </c>
      <c r="F92" s="6" t="s">
        <v>9</v>
      </c>
      <c r="G92" s="7">
        <f t="shared" si="1"/>
        <v>104</v>
      </c>
      <c r="H92" s="23">
        <v>30.1</v>
      </c>
    </row>
    <row r="93" spans="1:10" x14ac:dyDescent="0.3">
      <c r="A93" s="24">
        <v>3099</v>
      </c>
      <c r="B93" s="25" t="s">
        <v>16</v>
      </c>
      <c r="C93" s="26">
        <v>1</v>
      </c>
      <c r="D93" s="27">
        <v>5</v>
      </c>
      <c r="E93" s="27">
        <v>14.5</v>
      </c>
      <c r="F93" s="28" t="s">
        <v>9</v>
      </c>
      <c r="G93" s="7">
        <f t="shared" si="1"/>
        <v>113</v>
      </c>
      <c r="H93" s="29">
        <v>30.2</v>
      </c>
    </row>
    <row r="94" spans="1:10" x14ac:dyDescent="0.3">
      <c r="A94" s="30">
        <v>3586</v>
      </c>
      <c r="B94" s="31" t="s">
        <v>10</v>
      </c>
      <c r="C94" s="32">
        <v>1</v>
      </c>
      <c r="D94" s="33">
        <v>6.3</v>
      </c>
      <c r="E94" s="33">
        <v>15.9</v>
      </c>
      <c r="F94" s="34" t="s">
        <v>9</v>
      </c>
      <c r="G94" s="7">
        <f t="shared" si="1"/>
        <v>105</v>
      </c>
      <c r="H94" s="35">
        <v>30.5</v>
      </c>
    </row>
    <row r="95" spans="1:10" x14ac:dyDescent="0.3">
      <c r="A95" s="30">
        <v>3954</v>
      </c>
      <c r="B95" s="31" t="s">
        <v>39</v>
      </c>
      <c r="C95" s="32">
        <v>1</v>
      </c>
      <c r="D95" s="33">
        <v>6.3</v>
      </c>
      <c r="E95" s="33">
        <v>15.2</v>
      </c>
      <c r="F95" s="34" t="s">
        <v>9</v>
      </c>
      <c r="G95" s="7">
        <f t="shared" si="1"/>
        <v>99</v>
      </c>
      <c r="H95" s="35">
        <v>30.6</v>
      </c>
      <c r="I95" s="36" t="s">
        <v>40</v>
      </c>
      <c r="J95" s="15" t="s">
        <v>41</v>
      </c>
    </row>
    <row r="96" spans="1:10" x14ac:dyDescent="0.3">
      <c r="A96" s="37">
        <v>3174</v>
      </c>
      <c r="B96" s="31" t="s">
        <v>20</v>
      </c>
      <c r="C96" s="38">
        <v>1</v>
      </c>
      <c r="D96" s="39">
        <v>5.4</v>
      </c>
      <c r="E96" s="39">
        <v>14.9</v>
      </c>
      <c r="F96" s="34" t="s">
        <v>9</v>
      </c>
      <c r="G96" s="7">
        <f t="shared" si="1"/>
        <v>111</v>
      </c>
      <c r="H96" s="35">
        <v>30.8</v>
      </c>
      <c r="I96" s="16" t="s">
        <v>26</v>
      </c>
    </row>
    <row r="97" spans="1:10" x14ac:dyDescent="0.3">
      <c r="A97" s="30">
        <v>3118</v>
      </c>
      <c r="B97" s="31" t="s">
        <v>33</v>
      </c>
      <c r="C97" s="32">
        <v>1</v>
      </c>
      <c r="D97" s="33">
        <v>4.9000000000000004</v>
      </c>
      <c r="E97" s="33">
        <v>15.5</v>
      </c>
      <c r="F97" s="34" t="s">
        <v>9</v>
      </c>
      <c r="G97" s="7">
        <f t="shared" si="1"/>
        <v>112</v>
      </c>
      <c r="H97" s="35">
        <v>30.9</v>
      </c>
      <c r="I97" s="17" t="s">
        <v>27</v>
      </c>
      <c r="J97" s="18">
        <f>AVERAGE(H$68:H$100)</f>
        <v>28.718181818181819</v>
      </c>
    </row>
    <row r="98" spans="1:10" x14ac:dyDescent="0.3">
      <c r="A98" s="37">
        <v>3851</v>
      </c>
      <c r="B98" s="31" t="s">
        <v>22</v>
      </c>
      <c r="C98" s="38">
        <v>1</v>
      </c>
      <c r="D98" s="39">
        <v>5.8</v>
      </c>
      <c r="E98" s="39">
        <v>15.3</v>
      </c>
      <c r="F98" s="34" t="s">
        <v>9</v>
      </c>
      <c r="G98" s="7">
        <f t="shared" si="1"/>
        <v>102</v>
      </c>
      <c r="H98" s="35">
        <v>31.7</v>
      </c>
      <c r="I98" s="17" t="s">
        <v>28</v>
      </c>
      <c r="J98" s="19">
        <f>STDEV(H$68:H$100)</f>
        <v>2.0261500662362328</v>
      </c>
    </row>
    <row r="99" spans="1:10" x14ac:dyDescent="0.3">
      <c r="A99" s="37">
        <v>3826</v>
      </c>
      <c r="B99" s="31" t="s">
        <v>22</v>
      </c>
      <c r="C99" s="38">
        <v>1</v>
      </c>
      <c r="D99" s="39">
        <v>6.2</v>
      </c>
      <c r="E99" s="39">
        <v>15.7</v>
      </c>
      <c r="F99" s="34" t="s">
        <v>9</v>
      </c>
      <c r="G99" s="7">
        <f t="shared" si="1"/>
        <v>102</v>
      </c>
      <c r="H99" s="35">
        <v>32.799999999999997</v>
      </c>
      <c r="I99" s="17" t="s">
        <v>29</v>
      </c>
      <c r="J99" s="20">
        <f>MIN(H$68:H$100)</f>
        <v>26</v>
      </c>
    </row>
    <row r="100" spans="1:10" x14ac:dyDescent="0.3">
      <c r="A100" s="40">
        <v>3189</v>
      </c>
      <c r="B100" s="41" t="s">
        <v>20</v>
      </c>
      <c r="C100" s="42">
        <v>1</v>
      </c>
      <c r="D100" s="43">
        <v>6</v>
      </c>
      <c r="E100" s="43">
        <v>16.5</v>
      </c>
      <c r="F100" s="44" t="s">
        <v>9</v>
      </c>
      <c r="G100" s="7">
        <f t="shared" si="1"/>
        <v>111</v>
      </c>
      <c r="H100" s="45">
        <v>34.1</v>
      </c>
      <c r="I100" s="17" t="s">
        <v>30</v>
      </c>
      <c r="J100" s="20">
        <f>MAX(H$68:H$100)</f>
        <v>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Eliel GONZALEZ-GARCIA</dc:creator>
  <cp:lastModifiedBy>Eliel GONZALEZ-GARCIA</cp:lastModifiedBy>
  <dcterms:created xsi:type="dcterms:W3CDTF">2022-10-10T13:44:52Z</dcterms:created>
  <dcterms:modified xsi:type="dcterms:W3CDTF">2022-10-12T08:36:08Z</dcterms:modified>
</cp:coreProperties>
</file>